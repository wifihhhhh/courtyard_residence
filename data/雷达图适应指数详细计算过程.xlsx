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na\Desktop\其它\个人活动\计算机应用能力\new\data\"/>
    </mc:Choice>
  </mc:AlternateContent>
  <xr:revisionPtr revIDLastSave="0" documentId="13_ncr:1_{41223D34-5C3E-4E55-AB94-95ECC84522A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P3" i="1"/>
  <c r="D9" i="1"/>
  <c r="E9" i="1"/>
  <c r="F9" i="1"/>
  <c r="G9" i="1"/>
  <c r="H9" i="1"/>
  <c r="I9" i="1"/>
  <c r="D8" i="1"/>
  <c r="E8" i="1"/>
  <c r="F8" i="1"/>
  <c r="G8" i="1"/>
  <c r="H8" i="1"/>
  <c r="I8" i="1"/>
  <c r="P4" i="1" s="1"/>
  <c r="C9" i="1"/>
  <c r="N4" i="1" s="1"/>
  <c r="C8" i="1"/>
  <c r="N2" i="1" l="1"/>
  <c r="O3" i="1"/>
  <c r="P2" i="1"/>
  <c r="P6" i="1"/>
  <c r="O5" i="1"/>
  <c r="P5" i="1"/>
  <c r="N5" i="1"/>
  <c r="M6" i="1"/>
  <c r="N6" i="1"/>
  <c r="O2" i="1"/>
  <c r="O6" i="1"/>
  <c r="N3" i="1"/>
  <c r="O4" i="1"/>
  <c r="M2" i="1"/>
  <c r="M3" i="1"/>
  <c r="M4" i="1"/>
  <c r="M5" i="1"/>
  <c r="L4" i="1"/>
  <c r="L6" i="1"/>
  <c r="L5" i="1"/>
  <c r="L3" i="1"/>
</calcChain>
</file>

<file path=xl/sharedStrings.xml><?xml version="1.0" encoding="utf-8"?>
<sst xmlns="http://schemas.openxmlformats.org/spreadsheetml/2006/main" count="38" uniqueCount="38">
  <si>
    <t>民居类型</t>
  </si>
  <si>
    <t>所处地</t>
  </si>
  <si>
    <t>墙体厚度_mm</t>
  </si>
  <si>
    <t>屋顶坡度_度</t>
  </si>
  <si>
    <t>开窗率</t>
  </si>
  <si>
    <t>年均气温_°C</t>
  </si>
  <si>
    <t>年均降水量_mm</t>
  </si>
  <si>
    <t>太阳辐射量_kWh/m2</t>
  </si>
  <si>
    <t>年平均风速_m/s</t>
  </si>
  <si>
    <t>建筑结构</t>
  </si>
  <si>
    <t>严寒适应力</t>
  </si>
  <si>
    <t>多雨适应力</t>
  </si>
  <si>
    <t>强辐射适应力</t>
  </si>
  <si>
    <t>通风散热力</t>
  </si>
  <si>
    <t>防风设计力</t>
  </si>
  <si>
    <t>北京四合院</t>
  </si>
  <si>
    <t>徽派民居</t>
  </si>
  <si>
    <t>广府镬耳屋</t>
  </si>
  <si>
    <t>云南一颗印</t>
  </si>
  <si>
    <t>陕北窑洞（地坑院）</t>
  </si>
  <si>
    <t>北京</t>
  </si>
  <si>
    <t>安徽</t>
  </si>
  <si>
    <t>广东</t>
  </si>
  <si>
    <t>云南</t>
  </si>
  <si>
    <t>陕西</t>
  </si>
  <si>
    <t>抬梁式木结构</t>
  </si>
  <si>
    <t>砖木混合结构</t>
  </si>
  <si>
    <t>穿斗式与抬梁式混合结构</t>
  </si>
  <si>
    <t>穿斗式木结构</t>
  </si>
  <si>
    <t>拱券 - 崖壁复合结构</t>
  </si>
  <si>
    <t>min</t>
    <phoneticPr fontId="2" type="noConversion"/>
  </si>
  <si>
    <t>max</t>
    <phoneticPr fontId="2" type="noConversion"/>
  </si>
  <si>
    <t>说明</t>
    <phoneticPr fontId="2" type="noConversion"/>
  </si>
  <si>
    <t>严寒适应力=标准化墙体厚度得分*60+窗墙比修正得分*20+基础分</t>
    <phoneticPr fontId="2" type="noConversion"/>
  </si>
  <si>
    <t>多雨适应力=标准化坡度绝对值得分*40+降水匹配得分（取坡度和降水需求的较小值×40）+基础分</t>
    <phoneticPr fontId="2" type="noConversion"/>
  </si>
  <si>
    <t>强辐射适应力=遮阳构造得分（厚墙系数×0.5+小窗系数×0.5）×50 + 辐射匹配得分（遮阳构造×辐射需求×30）+基础分</t>
    <phoneticPr fontId="2" type="noConversion"/>
  </si>
  <si>
    <t>通风散热力=开窗能力得分*40+温度匹配得分（开窗×温度需求+关窗×低温需求）×40+基础分</t>
    <phoneticPr fontId="2" type="noConversion"/>
  </si>
  <si>
    <t>防风设计力=结构抗风得分（结构系数×60）+风速匹配得分（结构系数×风速需求×30）+基础分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</si>
</sst>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L14" sqref="L14"/>
    </sheetView>
  </sheetViews>
  <sheetFormatPr defaultRowHeight="13.5" x14ac:dyDescent="0.3"/>
  <cols>
    <col min="12" max="12" width="12" customWidth="1"/>
    <col min="13" max="13" width="10.9296875" customWidth="1"/>
    <col min="14" max="14" width="12.796875" customWidth="1"/>
    <col min="15" max="15" width="11.6640625" customWidth="1"/>
    <col min="16" max="16" width="11.59765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3">
      <c r="A2" t="s">
        <v>15</v>
      </c>
      <c r="B2" t="s">
        <v>20</v>
      </c>
      <c r="C2">
        <v>600</v>
      </c>
      <c r="D2">
        <v>27.5</v>
      </c>
      <c r="E2">
        <v>0.2</v>
      </c>
      <c r="F2">
        <v>12.2</v>
      </c>
      <c r="G2">
        <v>55.8</v>
      </c>
      <c r="H2">
        <v>1429.9</v>
      </c>
      <c r="I2">
        <v>4.8600000000000003</v>
      </c>
      <c r="J2" t="s">
        <v>25</v>
      </c>
      <c r="L2" s="4">
        <f>(C2-$C$8)/($C$9-$C$8)*60+(1-E2/$E$9)*(($F$9-F2)/($F$9-$F$8))*20+20</f>
        <v>37.142857142857139</v>
      </c>
      <c r="M2" s="4">
        <f>(D2-$D$8)/($D$9-$D$8)*40+MIN(((D2-$D$8)/($D$9-$D$8)),((G2-$G$8)/($G$9-$G$8)))*40+20</f>
        <v>51.428571428571431</v>
      </c>
      <c r="N2" s="4">
        <f>((C2/$C$9)*0.5+(1-E2/$E$9)*0.5)*50+((C2/$C$9)*0.5+(1-E2/$E$9)*0.5)*((H2-$H$8)/($H$9-$H$8))*30+20</f>
        <v>34.512359550561804</v>
      </c>
      <c r="O2" s="4">
        <f>(E2-$E$8)/($E$9-$E$8)*40+((E2-$E$8)/($E$9-$E$8)*((F2-$F$8)/($F$9-$F$8))+(1-(E2-$E$8)/($E$9-$E$8))*(1-(F2-$F$8)/($F$9-$F$8))*0.5)*40+20</f>
        <v>60</v>
      </c>
      <c r="P2" s="4">
        <f>IF(J2="拱券 - 崖壁复合结构",0.95,IF(J2="砖木混合结构",0.8,IF(J2="抬梁式木结构",0.75,IF(J2="穿斗式与抬梁式混合结构",0.72,0.7))))*60+IF(J2="拱券 - 崖壁复合结构",0.95,IF(J2="砖木混合结构",0.8,IF(J2="抬梁式木结构",0.75,IF(J2="穿斗式与抬梁式混合结构",0.72,0.7))))*((I2-$I$8)/($I$9-$I$8))*30+10</f>
        <v>70.841836734693885</v>
      </c>
    </row>
    <row r="3" spans="1:16" x14ac:dyDescent="0.3">
      <c r="A3" t="s">
        <v>16</v>
      </c>
      <c r="B3" t="s">
        <v>21</v>
      </c>
      <c r="C3">
        <v>500</v>
      </c>
      <c r="D3">
        <v>30</v>
      </c>
      <c r="E3">
        <v>0.08</v>
      </c>
      <c r="F3">
        <v>17</v>
      </c>
      <c r="G3">
        <v>1149</v>
      </c>
      <c r="H3">
        <v>1229.0999999999999</v>
      </c>
      <c r="I3">
        <v>4.6500000000000004</v>
      </c>
      <c r="J3" t="s">
        <v>26</v>
      </c>
      <c r="L3" s="5">
        <f>(C3-$C$8)/($C$9-$C$8)*60+(1-E3/$E$9)*(($F$9-F3)/($F$9-$F$8))*20+20</f>
        <v>38.620952380952382</v>
      </c>
      <c r="M3" s="5">
        <f t="shared" ref="M3:M6" si="0">(D3-$D$8)/($D$9-$D$8)*40+MIN(((D3-$D$8)/($D$9-$D$8)),((G3-$G$8)/($G$9-$G$8)))*40+20</f>
        <v>78.093630657467969</v>
      </c>
      <c r="N3" s="5">
        <f t="shared" ref="N3:N6" si="1">((C3/$C$9)*0.5+(1-E3/$E$9)*0.5)*50+((C3/$C$9)*0.5+(1-E3/$E$9)*0.5)*((H3-$H$8)/($H$9-$H$8))*30+20</f>
        <v>43.333333333333329</v>
      </c>
      <c r="O3" s="5">
        <f>(E3-$E$8)/($E$9-$E$8)*40+((E3-$E$8)/($E$9-$E$8)*((F3-$F$8)/($F$9-$F$8))+(1-(E3-$E$8)/($E$9-$E$8))*(1-(F3-$F$8)/($F$9-$F$8))*0.5)*40+20</f>
        <v>30.4</v>
      </c>
      <c r="P3" s="5">
        <f t="shared" ref="P3:P6" si="2">IF(J3="拱券 - 崖壁复合结构",0.95,IF(J3="砖木混合结构",0.8,IF(J3="抬梁式木结构",0.75,IF(J3="穿斗式与抬梁式混合结构",0.72,0.7))))*60+IF(J3="拱券 - 崖壁复合结构",0.95,IF(J3="砖木混合结构",0.8,IF(J3="抬梁式木结构",0.75,IF(J3="穿斗式与抬梁式混合结构",0.72,0.7))))*((I3-$I$8)/($I$9-$I$8))*30+10</f>
        <v>69.755102040816325</v>
      </c>
    </row>
    <row r="4" spans="1:16" x14ac:dyDescent="0.3">
      <c r="A4" t="s">
        <v>17</v>
      </c>
      <c r="B4" t="s">
        <v>22</v>
      </c>
      <c r="C4">
        <v>240</v>
      </c>
      <c r="D4">
        <v>27</v>
      </c>
      <c r="E4">
        <v>0.17</v>
      </c>
      <c r="F4">
        <v>22.2</v>
      </c>
      <c r="G4">
        <v>1892.5</v>
      </c>
      <c r="H4">
        <v>1280.0999999999999</v>
      </c>
      <c r="I4">
        <v>5.15</v>
      </c>
      <c r="J4" t="s">
        <v>27</v>
      </c>
      <c r="L4" s="4">
        <f>(C4-$C$8)/($C$9-$C$8)*60+(1-E4/$E$9)*(($F$9-F4)/($F$9-$F$8))*20+20</f>
        <v>20</v>
      </c>
      <c r="M4" s="4">
        <f t="shared" si="0"/>
        <v>81.714285714285722</v>
      </c>
      <c r="N4" s="4">
        <f t="shared" si="1"/>
        <v>28.638202247191014</v>
      </c>
      <c r="O4" s="4">
        <f>(E4-$E$8)/($E$9-$E$8)*40+((E4-$E$8)/($E$9-$E$8)*((F4-$F$8)/($F$9-$F$8))+(1-(E4-$E$8)/($E$9-$E$8))*(1-(F4-$F$8)/($F$9-$F$8))*0.5)*40+20</f>
        <v>80</v>
      </c>
      <c r="P4" s="4">
        <f t="shared" si="2"/>
        <v>74.8</v>
      </c>
    </row>
    <row r="5" spans="1:16" x14ac:dyDescent="0.3">
      <c r="A5" t="s">
        <v>18</v>
      </c>
      <c r="B5" t="s">
        <v>23</v>
      </c>
      <c r="C5">
        <v>550</v>
      </c>
      <c r="D5">
        <v>35</v>
      </c>
      <c r="E5">
        <v>0.08</v>
      </c>
      <c r="F5">
        <v>18.100000000000001</v>
      </c>
      <c r="G5">
        <v>1050.3</v>
      </c>
      <c r="H5">
        <v>1496.1</v>
      </c>
      <c r="I5">
        <v>4.17</v>
      </c>
      <c r="J5" t="s">
        <v>28</v>
      </c>
      <c r="L5" s="5">
        <f>(C5-$C$8)/($C$9-$C$8)*60+(1-E5/$E$9)*(($F$9-F5)/($F$9-$F$8))*20+20</f>
        <v>39.681904761904761</v>
      </c>
      <c r="M5" s="5">
        <f t="shared" si="0"/>
        <v>81.658409103283063</v>
      </c>
      <c r="N5" s="5">
        <f t="shared" si="1"/>
        <v>58.666666666666671</v>
      </c>
      <c r="O5" s="5">
        <f>(E5-$E$8)/($E$9-$E$8)*40+((E5-$E$8)/($E$9-$E$8)*((F5-$F$8)/($F$9-$F$8))+(1-(E5-$E$8)/($E$9-$E$8))*(1-(F5-$F$8)/($F$9-$F$8))*0.5)*40+20</f>
        <v>28.199999999999996</v>
      </c>
      <c r="P5" s="5">
        <f t="shared" si="2"/>
        <v>52</v>
      </c>
    </row>
    <row r="6" spans="1:16" x14ac:dyDescent="0.3">
      <c r="A6" t="s">
        <v>19</v>
      </c>
      <c r="B6" t="s">
        <v>24</v>
      </c>
      <c r="C6">
        <v>1500</v>
      </c>
      <c r="D6">
        <v>0</v>
      </c>
      <c r="E6">
        <v>0.08</v>
      </c>
      <c r="F6">
        <v>12.8</v>
      </c>
      <c r="G6">
        <v>786</v>
      </c>
      <c r="H6">
        <v>1341.4</v>
      </c>
      <c r="I6">
        <v>4.5599999999999996</v>
      </c>
      <c r="J6" t="s">
        <v>29</v>
      </c>
      <c r="L6" s="4">
        <f>(C6-$C$8)/($C$9-$C$8)*60+(1-E6/$E$9)*(($F$9-F6)/($F$9-$F$8))*20+20</f>
        <v>91.28</v>
      </c>
      <c r="M6" s="4">
        <f t="shared" si="0"/>
        <v>20</v>
      </c>
      <c r="N6" s="4">
        <f t="shared" si="1"/>
        <v>70.094382022471933</v>
      </c>
      <c r="O6" s="4">
        <f>(E6-$E$8)/($E$9-$E$8)*40+((E6-$E$8)/($E$9-$E$8)*((F6-$F$8)/($F$9-$F$8))+(1-(E6-$E$8)/($E$9-$E$8))*(1-(F6-$F$8)/($F$9-$F$8))*0.5)*40+20</f>
        <v>38.799999999999997</v>
      </c>
      <c r="P6" s="4">
        <f t="shared" si="2"/>
        <v>78.341836734693857</v>
      </c>
    </row>
    <row r="8" spans="1:16" x14ac:dyDescent="0.3">
      <c r="A8" s="2" t="s">
        <v>30</v>
      </c>
      <c r="B8" s="2"/>
      <c r="C8">
        <f>MIN(C2:C6)</f>
        <v>240</v>
      </c>
      <c r="D8">
        <f t="shared" ref="D8:I8" si="3">MIN(D2:D6)</f>
        <v>0</v>
      </c>
      <c r="E8">
        <f t="shared" si="3"/>
        <v>0.08</v>
      </c>
      <c r="F8">
        <f t="shared" si="3"/>
        <v>12.2</v>
      </c>
      <c r="G8">
        <f t="shared" si="3"/>
        <v>55.8</v>
      </c>
      <c r="H8">
        <f t="shared" si="3"/>
        <v>1229.0999999999999</v>
      </c>
      <c r="I8">
        <f t="shared" si="3"/>
        <v>4.17</v>
      </c>
    </row>
    <row r="9" spans="1:16" x14ac:dyDescent="0.3">
      <c r="A9" s="2" t="s">
        <v>31</v>
      </c>
      <c r="B9" s="2"/>
      <c r="C9">
        <f>MAX(C2:C6)</f>
        <v>1500</v>
      </c>
      <c r="D9">
        <f t="shared" ref="D9:I9" si="4">MAX(D2:D6)</f>
        <v>35</v>
      </c>
      <c r="E9">
        <f t="shared" si="4"/>
        <v>0.2</v>
      </c>
      <c r="F9">
        <f t="shared" si="4"/>
        <v>22.2</v>
      </c>
      <c r="G9">
        <f t="shared" si="4"/>
        <v>1892.5</v>
      </c>
      <c r="H9">
        <f t="shared" si="4"/>
        <v>1496.1</v>
      </c>
      <c r="I9">
        <f t="shared" si="4"/>
        <v>5.15</v>
      </c>
    </row>
    <row r="11" spans="1:16" x14ac:dyDescent="0.3">
      <c r="A11" s="2" t="s">
        <v>32</v>
      </c>
      <c r="B11" s="2"/>
      <c r="L11" t="s">
        <v>33</v>
      </c>
      <c r="M11" t="s">
        <v>34</v>
      </c>
      <c r="N11" t="s">
        <v>35</v>
      </c>
      <c r="O11" t="s">
        <v>36</v>
      </c>
      <c r="P11" t="s">
        <v>37</v>
      </c>
    </row>
  </sheetData>
  <mergeCells count="3">
    <mergeCell ref="A8:B8"/>
    <mergeCell ref="A9:B9"/>
    <mergeCell ref="A11:B1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yifei wang</cp:lastModifiedBy>
  <dcterms:created xsi:type="dcterms:W3CDTF">2026-03-19T02:38:49Z</dcterms:created>
  <dcterms:modified xsi:type="dcterms:W3CDTF">2026-03-19T03:44:27Z</dcterms:modified>
</cp:coreProperties>
</file>